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e.colli\Downloads\"/>
    </mc:Choice>
  </mc:AlternateContent>
  <xr:revisionPtr revIDLastSave="0" documentId="13_ncr:1_{F0A42219-B165-4D56-8B80-E65F72C4EB52}" xr6:coauthVersionLast="47" xr6:coauthVersionMax="47" xr10:uidLastSave="{00000000-0000-0000-0000-000000000000}"/>
  <bookViews>
    <workbookView xWindow="2685" yWindow="2685" windowWidth="21600" windowHeight="11295" xr2:uid="{00000000-000D-0000-FFFF-FFFF00000000}"/>
  </bookViews>
  <sheets>
    <sheet name="no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0" i="1" l="1"/>
  <c r="E29" i="1"/>
  <c r="E27" i="1"/>
  <c r="E26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L7" i="1"/>
  <c r="L8" i="1"/>
  <c r="L9" i="1"/>
  <c r="L10" i="1"/>
  <c r="L11" i="1"/>
  <c r="L12" i="1"/>
  <c r="L23" i="1"/>
  <c r="L3" i="1"/>
  <c r="K4" i="1" a="1"/>
  <c r="K4" i="1"/>
  <c r="L4" i="1" s="1"/>
  <c r="K5" i="1" a="1"/>
  <c r="K5" i="1"/>
  <c r="L5" i="1" s="1"/>
  <c r="K6" i="1" a="1"/>
  <c r="K6" i="1" s="1"/>
  <c r="L6" i="1" s="1"/>
  <c r="K7" i="1" a="1"/>
  <c r="K7" i="1"/>
  <c r="K8" i="1" a="1"/>
  <c r="K8" i="1"/>
  <c r="K9" i="1" a="1"/>
  <c r="K9" i="1"/>
  <c r="K10" i="1" a="1"/>
  <c r="K10" i="1"/>
  <c r="K11" i="1" a="1"/>
  <c r="K11" i="1"/>
  <c r="K12" i="1" a="1"/>
  <c r="K12" i="1"/>
  <c r="K13" i="1" a="1"/>
  <c r="K13" i="1"/>
  <c r="K14" i="1" a="1"/>
  <c r="K14" i="1" s="1"/>
  <c r="K15" i="1" a="1"/>
  <c r="K15" i="1"/>
  <c r="K16" i="1" a="1"/>
  <c r="K16" i="1"/>
  <c r="L16" i="1" s="1"/>
  <c r="K17" i="1" a="1"/>
  <c r="K17" i="1"/>
  <c r="L17" i="1" s="1"/>
  <c r="K18" i="1" a="1"/>
  <c r="K18" i="1"/>
  <c r="L18" i="1" s="1"/>
  <c r="K19" i="1" a="1"/>
  <c r="K19" i="1" s="1"/>
  <c r="L19" i="1" s="1"/>
  <c r="K20" i="1" a="1"/>
  <c r="K20" i="1"/>
  <c r="L20" i="1" s="1"/>
  <c r="K21" i="1" a="1"/>
  <c r="K21" i="1"/>
  <c r="L21" i="1" s="1"/>
  <c r="K22" i="1" a="1"/>
  <c r="K22" i="1" s="1"/>
  <c r="L22" i="1" s="1"/>
  <c r="K23" i="1" a="1"/>
  <c r="K23" i="1"/>
  <c r="K3" i="1" a="1"/>
  <c r="K3" i="1" s="1"/>
  <c r="J4" i="1"/>
  <c r="J5" i="1"/>
  <c r="J6" i="1"/>
  <c r="J7" i="1"/>
  <c r="J8" i="1"/>
  <c r="J9" i="1"/>
  <c r="J10" i="1"/>
  <c r="J11" i="1"/>
  <c r="J12" i="1"/>
  <c r="J13" i="1"/>
  <c r="L13" i="1" s="1"/>
  <c r="J14" i="1"/>
  <c r="J15" i="1"/>
  <c r="L15" i="1" s="1"/>
  <c r="J16" i="1"/>
  <c r="J17" i="1"/>
  <c r="J18" i="1"/>
  <c r="J19" i="1"/>
  <c r="J20" i="1"/>
  <c r="J21" i="1"/>
  <c r="J22" i="1"/>
  <c r="J23" i="1"/>
  <c r="J3" i="1"/>
  <c r="M3" i="1" s="1"/>
  <c r="L1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<sst xmlns="http://schemas.openxmlformats.org/spreadsheetml/2006/main" count="38" uniqueCount="37">
  <si>
    <t>Karina</t>
  </si>
  <si>
    <t>Francisca</t>
  </si>
  <si>
    <t>Matilde</t>
  </si>
  <si>
    <t>Fabiola</t>
  </si>
  <si>
    <t>Veronica</t>
  </si>
  <si>
    <t>Carolina</t>
  </si>
  <si>
    <t>Catalina</t>
  </si>
  <si>
    <t>Almendra</t>
  </si>
  <si>
    <t>Nancy</t>
  </si>
  <si>
    <t>Luna</t>
  </si>
  <si>
    <t>Maria Jose</t>
  </si>
  <si>
    <t>Javier</t>
  </si>
  <si>
    <t>Edgardo</t>
  </si>
  <si>
    <t>Sergio</t>
  </si>
  <si>
    <t xml:space="preserve">Daniel </t>
  </si>
  <si>
    <t>Jaime</t>
  </si>
  <si>
    <t>Angel</t>
  </si>
  <si>
    <t>Cristian</t>
  </si>
  <si>
    <t>Felipe</t>
  </si>
  <si>
    <t>Rolando</t>
  </si>
  <si>
    <t>Ricardo</t>
  </si>
  <si>
    <t>Nombre</t>
  </si>
  <si>
    <t>Control 1</t>
  </si>
  <si>
    <t>Control 2</t>
  </si>
  <si>
    <t>Control 3</t>
  </si>
  <si>
    <t xml:space="preserve">Tarea 1 </t>
  </si>
  <si>
    <t>Tarea 2</t>
  </si>
  <si>
    <t>Tarea 3</t>
  </si>
  <si>
    <t xml:space="preserve"> </t>
  </si>
  <si>
    <t>Promedio Controles</t>
  </si>
  <si>
    <t>Promedio Tareas</t>
  </si>
  <si>
    <t>Nota Final</t>
  </si>
  <si>
    <t>Numero de Aprobados</t>
  </si>
  <si>
    <t>Numero de Reprobados</t>
  </si>
  <si>
    <t>Promedio Final de los aprobados</t>
  </si>
  <si>
    <t>Promedio de controles de los reprobados</t>
  </si>
  <si>
    <t>Aprobado?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</si>
</sst>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3"/>
  <sheetViews>
    <sheetView tabSelected="1" topLeftCell="E1" workbookViewId="0">
      <selection activeCell="E30" sqref="E30"/>
    </sheetView>
  </sheetViews>
  <sheetFormatPr baseColWidth="10" defaultRowHeight="15" x14ac:dyDescent="0.25"/>
  <cols>
    <col min="1" max="1" width="10" customWidth="1"/>
    <col min="2" max="2" width="11.7109375" customWidth="1"/>
    <col min="5" max="5" width="11.85546875" bestFit="1" customWidth="1"/>
    <col min="8" max="8" width="12.140625" customWidth="1"/>
    <col min="9" max="9" width="9.5703125" customWidth="1"/>
    <col min="10" max="10" width="18.85546875" bestFit="1" customWidth="1"/>
    <col min="11" max="11" width="15.85546875" bestFit="1" customWidth="1"/>
    <col min="13" max="13" width="18.140625" customWidth="1"/>
    <col min="14" max="14" width="38.140625" bestFit="1" customWidth="1"/>
  </cols>
  <sheetData>
    <row r="1" spans="2:13" x14ac:dyDescent="0.25">
      <c r="E1" s="1"/>
    </row>
    <row r="2" spans="2:13" x14ac:dyDescent="0.25"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J2" t="s">
        <v>29</v>
      </c>
      <c r="K2" t="s">
        <v>30</v>
      </c>
      <c r="L2" t="s">
        <v>31</v>
      </c>
      <c r="M2" t="s">
        <v>36</v>
      </c>
    </row>
    <row r="3" spans="2:13" x14ac:dyDescent="0.25">
      <c r="B3" t="s">
        <v>0</v>
      </c>
      <c r="C3">
        <v>5.6</v>
      </c>
      <c r="D3">
        <v>3.7</v>
      </c>
      <c r="E3">
        <v>5.5</v>
      </c>
      <c r="F3">
        <v>4.5</v>
      </c>
      <c r="G3">
        <v>2.2000000000000002</v>
      </c>
      <c r="H3">
        <v>6.9</v>
      </c>
      <c r="J3" s="1">
        <f>SUM(C3:E3)/3</f>
        <v>4.9333333333333336</v>
      </c>
      <c r="K3" cm="1">
        <f t="array" ref="K3">SUM(F3:H3-MIN(F3:H3))/2</f>
        <v>3.5</v>
      </c>
      <c r="L3" s="1">
        <f>(J3*2+K3)/3</f>
        <v>4.4555555555555557</v>
      </c>
      <c r="M3" t="str">
        <f>IF(AND(J3&gt;=4, K3&gt;=4),"Aprobado","Reprobado")</f>
        <v>Reprobado</v>
      </c>
    </row>
    <row r="4" spans="2:13" x14ac:dyDescent="0.25">
      <c r="B4" t="s">
        <v>20</v>
      </c>
      <c r="C4">
        <v>5.9</v>
      </c>
      <c r="D4">
        <v>3.4</v>
      </c>
      <c r="E4">
        <v>4.5999999999999996</v>
      </c>
      <c r="F4">
        <v>3.8</v>
      </c>
      <c r="G4">
        <v>3.7</v>
      </c>
      <c r="H4">
        <v>6.7</v>
      </c>
      <c r="J4" s="1">
        <f t="shared" ref="J4:J23" si="0">SUM(C4:E4)/3</f>
        <v>4.6333333333333337</v>
      </c>
      <c r="K4" cm="1">
        <f t="array" ref="K4">SUM(F4:H4-MIN(F4:H4))/2</f>
        <v>1.5499999999999998</v>
      </c>
      <c r="L4" s="1">
        <f t="shared" ref="L4:L23" si="1">(J4*2+K4)/3</f>
        <v>3.6055555555555556</v>
      </c>
      <c r="M4" t="str">
        <f t="shared" ref="M4:M23" si="2">IF(AND(J4&gt;=4, K4&gt;=4),"Aprobado","Reprobado")</f>
        <v>Reprobado</v>
      </c>
    </row>
    <row r="5" spans="2:13" x14ac:dyDescent="0.25">
      <c r="B5" t="s">
        <v>1</v>
      </c>
      <c r="C5">
        <v>1</v>
      </c>
      <c r="D5">
        <v>2.5</v>
      </c>
      <c r="E5">
        <v>6.8</v>
      </c>
      <c r="F5">
        <v>4.2</v>
      </c>
      <c r="G5">
        <v>2</v>
      </c>
      <c r="H5">
        <v>2.6</v>
      </c>
      <c r="J5" s="1">
        <f t="shared" si="0"/>
        <v>3.4333333333333336</v>
      </c>
      <c r="K5" cm="1">
        <f t="array" ref="K5">SUM(F5:H5-MIN(F5:H5))/2</f>
        <v>1.4000000000000001</v>
      </c>
      <c r="L5" s="1">
        <f t="shared" si="1"/>
        <v>2.755555555555556</v>
      </c>
      <c r="M5" t="str">
        <f t="shared" si="2"/>
        <v>Reprobado</v>
      </c>
    </row>
    <row r="6" spans="2:13" x14ac:dyDescent="0.25">
      <c r="B6" t="s">
        <v>19</v>
      </c>
      <c r="C6">
        <v>6.5</v>
      </c>
      <c r="D6">
        <v>2.1</v>
      </c>
      <c r="E6">
        <v>4.9000000000000004</v>
      </c>
      <c r="F6">
        <v>6.6</v>
      </c>
      <c r="G6">
        <v>2.2999999999999998</v>
      </c>
      <c r="H6">
        <v>7</v>
      </c>
      <c r="J6" s="1">
        <f t="shared" si="0"/>
        <v>4.5</v>
      </c>
      <c r="K6" cm="1">
        <f t="array" ref="K6">SUM(F6:H6-MIN(F6:H6))/2</f>
        <v>4.5</v>
      </c>
      <c r="L6" s="1">
        <f t="shared" si="1"/>
        <v>4.5</v>
      </c>
      <c r="M6" t="str">
        <f t="shared" si="2"/>
        <v>Aprobado</v>
      </c>
    </row>
    <row r="7" spans="2:13" x14ac:dyDescent="0.25">
      <c r="B7" t="s">
        <v>2</v>
      </c>
      <c r="C7">
        <v>5.4</v>
      </c>
      <c r="D7">
        <v>5.4</v>
      </c>
      <c r="E7">
        <v>6.7</v>
      </c>
      <c r="F7">
        <v>7</v>
      </c>
      <c r="G7">
        <v>4.4000000000000004</v>
      </c>
      <c r="H7">
        <v>3.8</v>
      </c>
      <c r="J7" s="1">
        <f t="shared" si="0"/>
        <v>5.833333333333333</v>
      </c>
      <c r="K7" cm="1">
        <f t="array" ref="K7">SUM(F7:H7-MIN(F7:H7))/2</f>
        <v>1.9000000000000004</v>
      </c>
      <c r="L7" s="1">
        <f t="shared" si="1"/>
        <v>4.5222222222222221</v>
      </c>
      <c r="M7" t="str">
        <f t="shared" si="2"/>
        <v>Reprobado</v>
      </c>
    </row>
    <row r="8" spans="2:13" x14ac:dyDescent="0.25">
      <c r="B8" t="s">
        <v>18</v>
      </c>
      <c r="C8">
        <v>6</v>
      </c>
      <c r="D8">
        <v>6</v>
      </c>
      <c r="E8">
        <v>3.7</v>
      </c>
      <c r="F8">
        <v>6.6</v>
      </c>
      <c r="G8">
        <v>7</v>
      </c>
      <c r="H8">
        <v>4.3</v>
      </c>
      <c r="J8" s="1">
        <f t="shared" si="0"/>
        <v>5.2333333333333334</v>
      </c>
      <c r="K8" cm="1">
        <f t="array" ref="K8">SUM(F8:H8-MIN(F8:H8))/2</f>
        <v>2.5</v>
      </c>
      <c r="L8" s="1">
        <f t="shared" si="1"/>
        <v>4.322222222222222</v>
      </c>
      <c r="M8" t="str">
        <f t="shared" si="2"/>
        <v>Reprobado</v>
      </c>
    </row>
    <row r="9" spans="2:13" x14ac:dyDescent="0.25">
      <c r="B9" t="s">
        <v>3</v>
      </c>
      <c r="C9">
        <v>1</v>
      </c>
      <c r="D9">
        <v>1</v>
      </c>
      <c r="E9">
        <v>4</v>
      </c>
      <c r="F9">
        <v>3.1</v>
      </c>
      <c r="G9">
        <v>7</v>
      </c>
      <c r="H9">
        <v>1.4</v>
      </c>
      <c r="J9" s="1">
        <f t="shared" si="0"/>
        <v>2</v>
      </c>
      <c r="K9" cm="1">
        <f t="array" ref="K9">SUM(F9:H9-MIN(F9:H9))/2</f>
        <v>3.65</v>
      </c>
      <c r="L9" s="1">
        <f t="shared" si="1"/>
        <v>2.5500000000000003</v>
      </c>
      <c r="M9" t="str">
        <f t="shared" si="2"/>
        <v>Reprobado</v>
      </c>
    </row>
    <row r="10" spans="2:13" x14ac:dyDescent="0.25">
      <c r="B10" t="s">
        <v>17</v>
      </c>
      <c r="C10">
        <v>6.1</v>
      </c>
      <c r="D10">
        <v>1</v>
      </c>
      <c r="E10">
        <v>5</v>
      </c>
      <c r="F10">
        <v>2.2000000000000002</v>
      </c>
      <c r="G10">
        <v>7</v>
      </c>
      <c r="H10">
        <v>7</v>
      </c>
      <c r="J10" s="1">
        <f t="shared" si="0"/>
        <v>4.0333333333333332</v>
      </c>
      <c r="K10" cm="1">
        <f t="array" ref="K10">SUM(F10:H10-MIN(F10:H10))/2</f>
        <v>4.8</v>
      </c>
      <c r="L10" s="1">
        <f t="shared" si="1"/>
        <v>4.2888888888888888</v>
      </c>
      <c r="M10" t="str">
        <f t="shared" si="2"/>
        <v>Aprobado</v>
      </c>
    </row>
    <row r="11" spans="2:13" x14ac:dyDescent="0.25">
      <c r="B11" t="s">
        <v>4</v>
      </c>
      <c r="C11">
        <v>6.5</v>
      </c>
      <c r="D11">
        <v>4.7</v>
      </c>
      <c r="E11">
        <v>5.6</v>
      </c>
      <c r="F11">
        <v>1</v>
      </c>
      <c r="G11">
        <v>4.5</v>
      </c>
      <c r="H11">
        <v>6.8</v>
      </c>
      <c r="J11">
        <f t="shared" si="0"/>
        <v>5.5999999999999988</v>
      </c>
      <c r="K11" cm="1">
        <f t="array" ref="K11">SUM(F11:H11-MIN(F11:H11))/2</f>
        <v>4.6500000000000004</v>
      </c>
      <c r="L11" s="1">
        <f t="shared" si="1"/>
        <v>5.2833333333333323</v>
      </c>
      <c r="M11" t="str">
        <f t="shared" si="2"/>
        <v>Aprobado</v>
      </c>
    </row>
    <row r="12" spans="2:13" x14ac:dyDescent="0.25">
      <c r="B12" t="s">
        <v>16</v>
      </c>
      <c r="C12">
        <v>5.0999999999999996</v>
      </c>
      <c r="D12">
        <v>3.4</v>
      </c>
      <c r="E12">
        <v>4.2</v>
      </c>
      <c r="F12">
        <v>3.8</v>
      </c>
      <c r="G12">
        <v>4.7</v>
      </c>
      <c r="H12">
        <v>7</v>
      </c>
      <c r="J12" s="1">
        <f t="shared" si="0"/>
        <v>4.2333333333333334</v>
      </c>
      <c r="K12" cm="1">
        <f t="array" ref="K12">SUM(F12:H12-MIN(F12:H12))/2</f>
        <v>2.0500000000000003</v>
      </c>
      <c r="L12" s="1">
        <f t="shared" si="1"/>
        <v>3.505555555555556</v>
      </c>
      <c r="M12" t="str">
        <f t="shared" si="2"/>
        <v>Reprobado</v>
      </c>
    </row>
    <row r="13" spans="2:13" x14ac:dyDescent="0.25">
      <c r="B13" t="s">
        <v>5</v>
      </c>
      <c r="C13">
        <v>5.3</v>
      </c>
      <c r="D13">
        <v>2.6</v>
      </c>
      <c r="E13">
        <v>3.4</v>
      </c>
      <c r="F13">
        <v>3.3</v>
      </c>
      <c r="G13">
        <v>2.2999999999999998</v>
      </c>
      <c r="H13">
        <v>5</v>
      </c>
      <c r="J13" s="1">
        <f t="shared" si="0"/>
        <v>3.7666666666666671</v>
      </c>
      <c r="K13" cm="1">
        <f t="array" ref="K13">SUM(F13:H13-MIN(F13:H13))/2</f>
        <v>1.85</v>
      </c>
      <c r="L13" s="1">
        <f t="shared" si="1"/>
        <v>3.1277777777777782</v>
      </c>
      <c r="M13" t="str">
        <f t="shared" si="2"/>
        <v>Reprobado</v>
      </c>
    </row>
    <row r="14" spans="2:13" x14ac:dyDescent="0.25">
      <c r="B14" t="s">
        <v>15</v>
      </c>
      <c r="C14">
        <v>5</v>
      </c>
      <c r="D14">
        <v>3.9</v>
      </c>
      <c r="E14">
        <v>6.2</v>
      </c>
      <c r="F14">
        <v>4.0999999999999996</v>
      </c>
      <c r="G14">
        <v>6</v>
      </c>
      <c r="H14">
        <v>2.6</v>
      </c>
      <c r="J14" s="1">
        <f t="shared" si="0"/>
        <v>5.0333333333333341</v>
      </c>
      <c r="K14" cm="1">
        <f t="array" ref="K14">SUM(F14:H14-MIN(F14:H14))/2</f>
        <v>2.4499999999999997</v>
      </c>
      <c r="L14" s="1">
        <f t="shared" si="1"/>
        <v>4.1722222222222225</v>
      </c>
      <c r="M14" t="str">
        <f t="shared" si="2"/>
        <v>Reprobado</v>
      </c>
    </row>
    <row r="15" spans="2:13" x14ac:dyDescent="0.25">
      <c r="B15" t="s">
        <v>6</v>
      </c>
      <c r="C15">
        <v>6.8</v>
      </c>
      <c r="D15">
        <v>3.7</v>
      </c>
      <c r="E15">
        <v>6.1</v>
      </c>
      <c r="F15">
        <v>1.5</v>
      </c>
      <c r="G15">
        <v>7</v>
      </c>
      <c r="H15">
        <v>3.5</v>
      </c>
      <c r="J15" s="1">
        <f t="shared" si="0"/>
        <v>5.5333333333333341</v>
      </c>
      <c r="K15" cm="1">
        <f t="array" ref="K15">SUM(F15:H15-MIN(F15:H15))/2</f>
        <v>3.75</v>
      </c>
      <c r="L15" s="1">
        <f t="shared" si="1"/>
        <v>4.9388888888888891</v>
      </c>
      <c r="M15" t="str">
        <f t="shared" si="2"/>
        <v>Reprobado</v>
      </c>
    </row>
    <row r="16" spans="2:13" x14ac:dyDescent="0.25">
      <c r="B16" t="s">
        <v>14</v>
      </c>
      <c r="C16">
        <v>6</v>
      </c>
      <c r="D16">
        <v>6</v>
      </c>
      <c r="E16">
        <v>2.1</v>
      </c>
      <c r="F16">
        <v>5.2</v>
      </c>
      <c r="G16">
        <v>6.1</v>
      </c>
      <c r="H16">
        <v>5.4</v>
      </c>
      <c r="J16">
        <f t="shared" si="0"/>
        <v>4.7</v>
      </c>
      <c r="K16" cm="1">
        <f t="array" ref="K16">SUM(F16:H16-MIN(F16:H16))/2</f>
        <v>0.54999999999999982</v>
      </c>
      <c r="L16" s="1">
        <f t="shared" si="1"/>
        <v>3.3166666666666664</v>
      </c>
      <c r="M16" t="str">
        <f t="shared" si="2"/>
        <v>Reprobado</v>
      </c>
    </row>
    <row r="17" spans="2:13" x14ac:dyDescent="0.25">
      <c r="B17" t="s">
        <v>7</v>
      </c>
      <c r="C17">
        <v>6.2</v>
      </c>
      <c r="D17">
        <v>6.2</v>
      </c>
      <c r="E17">
        <v>4.2</v>
      </c>
      <c r="F17">
        <v>7</v>
      </c>
      <c r="G17">
        <v>1.9</v>
      </c>
      <c r="H17">
        <v>7</v>
      </c>
      <c r="J17" s="1">
        <f t="shared" si="0"/>
        <v>5.5333333333333341</v>
      </c>
      <c r="K17" cm="1">
        <f t="array" ref="K17">SUM(F17:H17-MIN(F17:H17))/2</f>
        <v>5.0999999999999996</v>
      </c>
      <c r="L17" s="1">
        <f t="shared" si="1"/>
        <v>5.3888888888888893</v>
      </c>
      <c r="M17" t="str">
        <f t="shared" si="2"/>
        <v>Aprobado</v>
      </c>
    </row>
    <row r="18" spans="2:13" x14ac:dyDescent="0.25">
      <c r="B18" t="s">
        <v>13</v>
      </c>
      <c r="C18">
        <v>3.2</v>
      </c>
      <c r="D18">
        <v>2</v>
      </c>
      <c r="E18">
        <v>1.4</v>
      </c>
      <c r="F18">
        <v>2.2000000000000002</v>
      </c>
      <c r="G18">
        <v>7</v>
      </c>
      <c r="H18">
        <v>4.3</v>
      </c>
      <c r="J18">
        <f t="shared" si="0"/>
        <v>2.1999999999999997</v>
      </c>
      <c r="K18" cm="1">
        <f t="array" ref="K18">SUM(F18:H18-MIN(F18:H18))/2</f>
        <v>3.4499999999999997</v>
      </c>
      <c r="L18" s="1">
        <f t="shared" si="1"/>
        <v>2.6166666666666667</v>
      </c>
      <c r="M18" t="str">
        <f t="shared" si="2"/>
        <v>Reprobado</v>
      </c>
    </row>
    <row r="19" spans="2:13" x14ac:dyDescent="0.25">
      <c r="B19" t="s">
        <v>8</v>
      </c>
      <c r="C19">
        <v>6.2</v>
      </c>
      <c r="D19">
        <v>2.1</v>
      </c>
      <c r="E19">
        <v>4.3</v>
      </c>
      <c r="F19">
        <v>2</v>
      </c>
      <c r="G19">
        <v>2.5</v>
      </c>
      <c r="H19">
        <v>3.4</v>
      </c>
      <c r="J19">
        <f t="shared" si="0"/>
        <v>4.2</v>
      </c>
      <c r="K19" cm="1">
        <f t="array" ref="K19">SUM(F19:H19-MIN(F19:H19))/2</f>
        <v>0.95</v>
      </c>
      <c r="L19" s="1">
        <f t="shared" si="1"/>
        <v>3.1166666666666667</v>
      </c>
      <c r="M19" t="str">
        <f t="shared" si="2"/>
        <v>Reprobado</v>
      </c>
    </row>
    <row r="20" spans="2:13" x14ac:dyDescent="0.25">
      <c r="B20" t="s">
        <v>12</v>
      </c>
      <c r="C20">
        <v>5.3</v>
      </c>
      <c r="D20">
        <v>5.3</v>
      </c>
      <c r="E20">
        <v>1</v>
      </c>
      <c r="F20">
        <v>1</v>
      </c>
      <c r="G20">
        <v>3.9</v>
      </c>
      <c r="H20">
        <v>1.5</v>
      </c>
      <c r="J20" s="1">
        <f t="shared" si="0"/>
        <v>3.8666666666666667</v>
      </c>
      <c r="K20" cm="1">
        <f t="array" ref="K20">SUM(F20:H20-MIN(F20:H20))/2</f>
        <v>1.7</v>
      </c>
      <c r="L20" s="1">
        <f t="shared" si="1"/>
        <v>3.1444444444444444</v>
      </c>
      <c r="M20" t="str">
        <f t="shared" si="2"/>
        <v>Reprobado</v>
      </c>
    </row>
    <row r="21" spans="2:13" x14ac:dyDescent="0.25">
      <c r="B21" t="s">
        <v>9</v>
      </c>
      <c r="C21">
        <v>5.0999999999999996</v>
      </c>
      <c r="D21">
        <v>6.6</v>
      </c>
      <c r="E21">
        <v>6.9</v>
      </c>
      <c r="F21">
        <v>6.2</v>
      </c>
      <c r="G21">
        <v>3.6</v>
      </c>
      <c r="H21">
        <v>1.6</v>
      </c>
      <c r="J21">
        <f t="shared" si="0"/>
        <v>6.2</v>
      </c>
      <c r="K21" cm="1">
        <f t="array" ref="K21">SUM(F21:H21-MIN(F21:H21))/2</f>
        <v>3.3</v>
      </c>
      <c r="L21" s="1">
        <f t="shared" si="1"/>
        <v>5.2333333333333334</v>
      </c>
      <c r="M21" t="str">
        <f t="shared" si="2"/>
        <v>Reprobado</v>
      </c>
    </row>
    <row r="22" spans="2:13" x14ac:dyDescent="0.25">
      <c r="B22" t="s">
        <v>11</v>
      </c>
      <c r="C22">
        <v>4.2</v>
      </c>
      <c r="D22">
        <v>3.9</v>
      </c>
      <c r="E22">
        <v>2.8</v>
      </c>
      <c r="F22">
        <v>5.8</v>
      </c>
      <c r="G22">
        <v>3.1</v>
      </c>
      <c r="H22">
        <v>6</v>
      </c>
      <c r="J22" s="1">
        <f t="shared" si="0"/>
        <v>3.6333333333333329</v>
      </c>
      <c r="K22" cm="1">
        <f t="array" ref="K22">SUM(F22:H22-MIN(F22:H22))/2</f>
        <v>2.8</v>
      </c>
      <c r="L22" s="1">
        <f t="shared" si="1"/>
        <v>3.3555555555555556</v>
      </c>
      <c r="M22" t="str">
        <f t="shared" si="2"/>
        <v>Reprobado</v>
      </c>
    </row>
    <row r="23" spans="2:13" x14ac:dyDescent="0.25">
      <c r="B23" t="s">
        <v>10</v>
      </c>
      <c r="C23">
        <v>4.2</v>
      </c>
      <c r="D23">
        <v>4.3</v>
      </c>
      <c r="E23">
        <v>2.7</v>
      </c>
      <c r="F23">
        <v>3.1</v>
      </c>
      <c r="G23">
        <v>4.5999999999999996</v>
      </c>
      <c r="H23">
        <v>1.2</v>
      </c>
      <c r="J23" s="1">
        <f t="shared" si="0"/>
        <v>3.7333333333333329</v>
      </c>
      <c r="K23" cm="1">
        <f t="array" ref="K23">SUM(F23:H23-MIN(F23:H23))/2</f>
        <v>2.65</v>
      </c>
      <c r="L23" s="1">
        <f t="shared" si="1"/>
        <v>3.3722222222222218</v>
      </c>
      <c r="M23" t="str">
        <f t="shared" si="2"/>
        <v>Reprobado</v>
      </c>
    </row>
    <row r="26" spans="2:13" x14ac:dyDescent="0.25">
      <c r="E26">
        <f>COUNTIF(M3:M23,"Aprobado")</f>
        <v>4</v>
      </c>
      <c r="F26" t="s">
        <v>32</v>
      </c>
    </row>
    <row r="27" spans="2:13" x14ac:dyDescent="0.25">
      <c r="E27">
        <f>COUNTIF(M3:M23,"Reprobado")</f>
        <v>17</v>
      </c>
      <c r="F27" t="s">
        <v>33</v>
      </c>
    </row>
    <row r="29" spans="2:13" x14ac:dyDescent="0.25">
      <c r="E29">
        <f>AVERAGEIF(M3:M23,"Aprobado",L3:L23)</f>
        <v>4.8652777777777771</v>
      </c>
      <c r="F29" t="s">
        <v>34</v>
      </c>
    </row>
    <row r="30" spans="2:13" x14ac:dyDescent="0.25">
      <c r="E30">
        <f>AVERAGEIF(M3:M23,"Reprobado",L3:L23)</f>
        <v>3.6535947712418304</v>
      </c>
      <c r="F30" t="s">
        <v>35</v>
      </c>
    </row>
    <row r="32" spans="2:13" x14ac:dyDescent="0.25">
      <c r="F32" t="s">
        <v>28</v>
      </c>
    </row>
    <row r="33" spans="6:6" x14ac:dyDescent="0.25">
      <c r="F3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Baloian</dc:creator>
  <cp:lastModifiedBy>FELIPE COLLI</cp:lastModifiedBy>
  <dcterms:created xsi:type="dcterms:W3CDTF">2016-04-07T13:16:45Z</dcterms:created>
  <dcterms:modified xsi:type="dcterms:W3CDTF">2026-04-21T15:58:31Z</dcterms:modified>
</cp:coreProperties>
</file>