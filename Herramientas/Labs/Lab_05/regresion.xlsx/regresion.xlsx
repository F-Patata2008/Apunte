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Windows Settings\Escritorio\"/>
    </mc:Choice>
  </mc:AlternateContent>
  <xr:revisionPtr revIDLastSave="0" documentId="8_{93402B1A-10FF-43A0-919C-17A867A2792D}" xr6:coauthVersionLast="47" xr6:coauthVersionMax="47" xr10:uidLastSave="{00000000-0000-0000-0000-000000000000}"/>
  <bookViews>
    <workbookView xWindow="3030" yWindow="3030" windowWidth="21600" windowHeight="11295" activeTab="3" xr2:uid="{3DEB2651-4529-4A4A-A3C1-6674690742B3}"/>
  </bookViews>
  <sheets>
    <sheet name="Hoja1" sheetId="1" r:id="rId1"/>
    <sheet name="Hoja2" sheetId="2" r:id="rId2"/>
    <sheet name="Hoja3" sheetId="3" r:id="rId3"/>
    <sheet name="Hoj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4" l="1"/>
  <c r="D2" i="4"/>
  <c r="E2" i="4"/>
  <c r="E14" i="4" s="1"/>
  <c r="C3" i="4"/>
  <c r="D3" i="4"/>
  <c r="E3" i="4"/>
  <c r="C4" i="4"/>
  <c r="D4" i="4"/>
  <c r="E4" i="4"/>
  <c r="C5" i="4"/>
  <c r="D5" i="4"/>
  <c r="E5" i="4"/>
  <c r="C6" i="4"/>
  <c r="D6" i="4"/>
  <c r="E6" i="4"/>
  <c r="C7" i="4"/>
  <c r="D7" i="4"/>
  <c r="E7" i="4"/>
  <c r="C8" i="4"/>
  <c r="D8" i="4"/>
  <c r="E8" i="4"/>
  <c r="C9" i="4"/>
  <c r="D9" i="4"/>
  <c r="E9" i="4"/>
  <c r="C10" i="4"/>
  <c r="D10" i="4"/>
  <c r="E10" i="4"/>
  <c r="C11" i="4"/>
  <c r="D11" i="4"/>
  <c r="E11" i="4"/>
  <c r="C12" i="4"/>
  <c r="D12" i="4"/>
  <c r="E12" i="4"/>
  <c r="A14" i="4"/>
  <c r="B14" i="4"/>
  <c r="C14" i="4"/>
  <c r="C17" i="4" s="1"/>
  <c r="D14" i="4"/>
  <c r="C16" i="4"/>
  <c r="F3" i="3"/>
  <c r="F4" i="3"/>
  <c r="F5" i="3"/>
  <c r="F6" i="3"/>
  <c r="F7" i="3"/>
  <c r="F8" i="3"/>
  <c r="F9" i="3"/>
  <c r="F10" i="3"/>
  <c r="F11" i="3"/>
  <c r="F12" i="3"/>
  <c r="F2" i="3"/>
  <c r="C19" i="3"/>
  <c r="C18" i="3"/>
  <c r="C17" i="3"/>
  <c r="C16" i="3"/>
  <c r="E14" i="3"/>
  <c r="E3" i="3"/>
  <c r="E4" i="3"/>
  <c r="E5" i="3"/>
  <c r="E6" i="3"/>
  <c r="E7" i="3"/>
  <c r="E8" i="3"/>
  <c r="E9" i="3"/>
  <c r="E10" i="3"/>
  <c r="E11" i="3"/>
  <c r="E12" i="3"/>
  <c r="E2" i="3"/>
  <c r="B14" i="3"/>
  <c r="C14" i="3"/>
  <c r="D14" i="3"/>
  <c r="A14" i="3"/>
  <c r="D3" i="3"/>
  <c r="D4" i="3"/>
  <c r="D5" i="3"/>
  <c r="D6" i="3"/>
  <c r="D7" i="3"/>
  <c r="D8" i="3"/>
  <c r="D9" i="3"/>
  <c r="D10" i="3"/>
  <c r="D11" i="3"/>
  <c r="D12" i="3"/>
  <c r="D2" i="3"/>
  <c r="C3" i="3"/>
  <c r="C4" i="3"/>
  <c r="C5" i="3"/>
  <c r="C6" i="3"/>
  <c r="C7" i="3"/>
  <c r="C8" i="3"/>
  <c r="C9" i="3"/>
  <c r="C10" i="3"/>
  <c r="C11" i="3"/>
  <c r="C12" i="3"/>
  <c r="C2" i="3"/>
  <c r="C4" i="2"/>
  <c r="C6" i="2"/>
  <c r="C2" i="2"/>
  <c r="C8" i="2"/>
  <c r="C9" i="2"/>
  <c r="C7" i="2"/>
  <c r="C10" i="2"/>
  <c r="C12" i="2"/>
  <c r="C3" i="2"/>
  <c r="C5" i="2"/>
  <c r="C11" i="2"/>
  <c r="F4" i="1"/>
  <c r="F5" i="1"/>
  <c r="F6" i="1"/>
  <c r="F7" i="1"/>
  <c r="F8" i="1"/>
  <c r="F9" i="1"/>
  <c r="F10" i="1"/>
  <c r="F11" i="1"/>
  <c r="F12" i="1"/>
  <c r="F13" i="1"/>
  <c r="F3" i="1"/>
  <c r="C19" i="4" l="1"/>
  <c r="C18" i="4"/>
  <c r="F2" i="4" l="1"/>
  <c r="F10" i="4"/>
  <c r="F4" i="4"/>
  <c r="F5" i="4"/>
  <c r="F6" i="4"/>
  <c r="F8" i="4"/>
  <c r="F3" i="4"/>
  <c r="F7" i="4"/>
  <c r="F11" i="4"/>
  <c r="F12" i="4"/>
  <c r="F9" i="4"/>
</calcChain>
</file>

<file path=xl/sharedStrings.xml><?xml version="1.0" encoding="utf-8"?>
<sst xmlns="http://schemas.openxmlformats.org/spreadsheetml/2006/main" count="26" uniqueCount="12">
  <si>
    <t>Año</t>
  </si>
  <si>
    <t>trimestre</t>
  </si>
  <si>
    <t>X (desempleo)</t>
  </si>
  <si>
    <t>Y (crecimiento)</t>
  </si>
  <si>
    <t>x^2</t>
  </si>
  <si>
    <t>y^2</t>
  </si>
  <si>
    <t>x*y</t>
  </si>
  <si>
    <t>mx+c</t>
  </si>
  <si>
    <t>d</t>
  </si>
  <si>
    <t>n</t>
  </si>
  <si>
    <t>m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</si>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</sst>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2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Hoja2!$B$1</c:f>
              <c:strCache>
                <c:ptCount val="1"/>
                <c:pt idx="0">
                  <c:v>Y (crecimiento)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Hoja2!$A$2:$A$13</c:f>
              <c:numCache>
                <c:formatCode>General</c:formatCode>
                <c:ptCount val="12"/>
                <c:pt idx="0">
                  <c:v>-2</c:v>
                </c:pt>
                <c:pt idx="1">
                  <c:v>-1</c:v>
                </c:pt>
                <c:pt idx="2">
                  <c:v>-0.8</c:v>
                </c:pt>
                <c:pt idx="3">
                  <c:v>-0.4</c:v>
                </c:pt>
                <c:pt idx="4">
                  <c:v>-0.1</c:v>
                </c:pt>
                <c:pt idx="5">
                  <c:v>0</c:v>
                </c:pt>
                <c:pt idx="6">
                  <c:v>0.5</c:v>
                </c:pt>
                <c:pt idx="7">
                  <c:v>0.8</c:v>
                </c:pt>
                <c:pt idx="8">
                  <c:v>1.2</c:v>
                </c:pt>
                <c:pt idx="9">
                  <c:v>2.1</c:v>
                </c:pt>
                <c:pt idx="10">
                  <c:v>3.5</c:v>
                </c:pt>
              </c:numCache>
            </c:numRef>
          </c:xVal>
          <c:yVal>
            <c:numRef>
              <c:f>Hoja2!$B$2:$B$13</c:f>
              <c:numCache>
                <c:formatCode>General</c:formatCode>
                <c:ptCount val="12"/>
                <c:pt idx="0">
                  <c:v>7.8</c:v>
                </c:pt>
                <c:pt idx="1">
                  <c:v>5.7</c:v>
                </c:pt>
                <c:pt idx="2">
                  <c:v>4.9000000000000004</c:v>
                </c:pt>
                <c:pt idx="3">
                  <c:v>5.0999999999999996</c:v>
                </c:pt>
                <c:pt idx="4">
                  <c:v>4</c:v>
                </c:pt>
                <c:pt idx="5">
                  <c:v>2.2000000000000002</c:v>
                </c:pt>
                <c:pt idx="6">
                  <c:v>3.1</c:v>
                </c:pt>
                <c:pt idx="7">
                  <c:v>1.7</c:v>
                </c:pt>
                <c:pt idx="8">
                  <c:v>2</c:v>
                </c:pt>
                <c:pt idx="9">
                  <c:v>-2</c:v>
                </c:pt>
                <c:pt idx="10">
                  <c:v>-2.9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59-4781-B8C6-2419A952E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148335"/>
        <c:axId val="1016148751"/>
      </c:scatterChart>
      <c:valAx>
        <c:axId val="1016148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16148751"/>
        <c:crosses val="autoZero"/>
        <c:crossBetween val="midCat"/>
      </c:valAx>
      <c:valAx>
        <c:axId val="101614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16148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Crecimeinto</a:t>
            </a:r>
            <a:r>
              <a:rPr lang="es-CL" baseline="0"/>
              <a:t> dado el desempleo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Crecimiento Real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Hoja4!$A$2:$A$12</c:f>
              <c:numCache>
                <c:formatCode>General</c:formatCode>
                <c:ptCount val="11"/>
                <c:pt idx="0">
                  <c:v>-2</c:v>
                </c:pt>
                <c:pt idx="1">
                  <c:v>-1</c:v>
                </c:pt>
                <c:pt idx="2">
                  <c:v>-0.8</c:v>
                </c:pt>
                <c:pt idx="3">
                  <c:v>-0.4</c:v>
                </c:pt>
                <c:pt idx="4">
                  <c:v>-0.1</c:v>
                </c:pt>
                <c:pt idx="5">
                  <c:v>0</c:v>
                </c:pt>
                <c:pt idx="6">
                  <c:v>0.5</c:v>
                </c:pt>
                <c:pt idx="7">
                  <c:v>0.8</c:v>
                </c:pt>
                <c:pt idx="8">
                  <c:v>1.2</c:v>
                </c:pt>
                <c:pt idx="9">
                  <c:v>2.1</c:v>
                </c:pt>
                <c:pt idx="10">
                  <c:v>3.5</c:v>
                </c:pt>
              </c:numCache>
            </c:numRef>
          </c:xVal>
          <c:yVal>
            <c:numRef>
              <c:f>Hoja4!$B$2:$B$12</c:f>
              <c:numCache>
                <c:formatCode>General</c:formatCode>
                <c:ptCount val="11"/>
                <c:pt idx="0">
                  <c:v>7.8</c:v>
                </c:pt>
                <c:pt idx="1">
                  <c:v>5.7</c:v>
                </c:pt>
                <c:pt idx="2">
                  <c:v>4.9000000000000004</c:v>
                </c:pt>
                <c:pt idx="3">
                  <c:v>5.0999999999999996</c:v>
                </c:pt>
                <c:pt idx="4">
                  <c:v>4</c:v>
                </c:pt>
                <c:pt idx="5">
                  <c:v>2.2000000000000002</c:v>
                </c:pt>
                <c:pt idx="6">
                  <c:v>3.1</c:v>
                </c:pt>
                <c:pt idx="7">
                  <c:v>1.7</c:v>
                </c:pt>
                <c:pt idx="8">
                  <c:v>2</c:v>
                </c:pt>
                <c:pt idx="9">
                  <c:v>-2</c:v>
                </c:pt>
                <c:pt idx="10">
                  <c:v>-2.9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0E-435C-BC6E-5097994D0697}"/>
            </c:ext>
          </c:extLst>
        </c:ser>
        <c:ser>
          <c:idx val="1"/>
          <c:order val="1"/>
          <c:tx>
            <c:v>Calculado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Hoja4!$A$2:$A$12</c:f>
              <c:numCache>
                <c:formatCode>General</c:formatCode>
                <c:ptCount val="11"/>
                <c:pt idx="0">
                  <c:v>-2</c:v>
                </c:pt>
                <c:pt idx="1">
                  <c:v>-1</c:v>
                </c:pt>
                <c:pt idx="2">
                  <c:v>-0.8</c:v>
                </c:pt>
                <c:pt idx="3">
                  <c:v>-0.4</c:v>
                </c:pt>
                <c:pt idx="4">
                  <c:v>-0.1</c:v>
                </c:pt>
                <c:pt idx="5">
                  <c:v>0</c:v>
                </c:pt>
                <c:pt idx="6">
                  <c:v>0.5</c:v>
                </c:pt>
                <c:pt idx="7">
                  <c:v>0.8</c:v>
                </c:pt>
                <c:pt idx="8">
                  <c:v>1.2</c:v>
                </c:pt>
                <c:pt idx="9">
                  <c:v>2.1</c:v>
                </c:pt>
                <c:pt idx="10">
                  <c:v>3.5</c:v>
                </c:pt>
              </c:numCache>
            </c:numRef>
          </c:xVal>
          <c:yVal>
            <c:numRef>
              <c:f>Hoja4!$F$2:$F$12</c:f>
              <c:numCache>
                <c:formatCode>0.00</c:formatCode>
                <c:ptCount val="11"/>
                <c:pt idx="0">
                  <c:v>7.6277287505805855</c:v>
                </c:pt>
                <c:pt idx="1">
                  <c:v>5.6004025390927392</c:v>
                </c:pt>
                <c:pt idx="2">
                  <c:v>5.1949372967951701</c:v>
                </c:pt>
                <c:pt idx="3">
                  <c:v>4.3840068122000311</c:v>
                </c:pt>
                <c:pt idx="4">
                  <c:v>3.775808948753677</c:v>
                </c:pt>
                <c:pt idx="5">
                  <c:v>3.5730763276048925</c:v>
                </c:pt>
                <c:pt idx="6">
                  <c:v>2.5594132218609689</c:v>
                </c:pt>
                <c:pt idx="7">
                  <c:v>1.951215358414615</c:v>
                </c:pt>
                <c:pt idx="8">
                  <c:v>1.1402848738194766</c:v>
                </c:pt>
                <c:pt idx="9">
                  <c:v>-0.68430871651958602</c:v>
                </c:pt>
                <c:pt idx="10">
                  <c:v>-3.5225654126025714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60E-435C-BC6E-5097994D0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4030271"/>
        <c:axId val="1044031103"/>
      </c:scatterChart>
      <c:valAx>
        <c:axId val="1044030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Desempleo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44031103"/>
        <c:crosses val="autoZero"/>
        <c:crossBetween val="midCat"/>
      </c:valAx>
      <c:valAx>
        <c:axId val="10440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Crecimiento Económico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44030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242887</xdr:colOff>
      <xdr:row>0</xdr:row>
      <xdr:rowOff>61912</xdr:rowOff>
    </xdr:from>
    <xdr:to>
      <xdr:col>9</xdr:col>
      <xdr:colOff>242887</xdr:colOff>
      <xdr:row>14</xdr:row>
      <xdr:rowOff>147637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A22C85E-667D-42BD-8045-E223ADB4AF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19</xdr:row>
      <xdr:rowOff>147637</xdr:rowOff>
    </xdr:from>
    <xdr:to>
      <xdr:col>6</xdr:col>
      <xdr:colOff>161925</xdr:colOff>
      <xdr:row>34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70E30A-7FF1-4D43-B634-4FEEED2770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76C48-D772-4B2B-B9F6-D514263A8032}">
  <dimension ref="B1:F14"/>
  <sheetViews>
    <sheetView workbookViewId="0">
      <selection activeCell="G3" sqref="G3"/>
    </sheetView>
  </sheetViews>
  <sheetFormatPr baseColWidth="10" defaultRowHeight="15" x14ac:dyDescent="0.25"/>
  <cols>
    <col min="4" max="4" width="16.140625" customWidth="1"/>
    <col min="5" max="5" width="14.7109375" customWidth="1"/>
    <col min="6" max="6" width="11.85546875" bestFit="1" customWidth="1"/>
  </cols>
  <sheetData>
    <row r="1" spans="2:6" ht="15.75" thickBot="1" x14ac:dyDescent="0.3"/>
    <row r="2" spans="2:6" ht="15.75" thickBot="1" x14ac:dyDescent="0.3">
      <c r="B2" s="1" t="s">
        <v>0</v>
      </c>
      <c r="C2" s="2" t="s">
        <v>1</v>
      </c>
      <c r="D2" s="2" t="s">
        <v>2</v>
      </c>
      <c r="E2" s="2" t="s">
        <v>3</v>
      </c>
    </row>
    <row r="3" spans="2:6" ht="15.75" thickBot="1" x14ac:dyDescent="0.3">
      <c r="B3" s="3">
        <v>1967</v>
      </c>
      <c r="C3" s="4">
        <v>1</v>
      </c>
      <c r="D3" s="4">
        <v>2.1</v>
      </c>
      <c r="E3" s="4">
        <v>-2</v>
      </c>
      <c r="F3">
        <f>IF(D3*E3&lt;0, 1,0)</f>
        <v>1</v>
      </c>
    </row>
    <row r="4" spans="2:6" ht="15.75" thickBot="1" x14ac:dyDescent="0.3">
      <c r="B4" s="3">
        <v>1967</v>
      </c>
      <c r="C4" s="4">
        <v>2</v>
      </c>
      <c r="D4" s="4">
        <v>-0.4</v>
      </c>
      <c r="E4" s="4">
        <v>5.0999999999999996</v>
      </c>
      <c r="F4">
        <f t="shared" ref="F4:F13" si="0">IF(D4*E4&lt;0, 1,0)</f>
        <v>1</v>
      </c>
    </row>
    <row r="5" spans="2:6" ht="15.75" thickBot="1" x14ac:dyDescent="0.3">
      <c r="B5" s="3">
        <v>1967</v>
      </c>
      <c r="C5" s="4">
        <v>3</v>
      </c>
      <c r="D5" s="4">
        <v>-1</v>
      </c>
      <c r="E5" s="4">
        <v>5.7</v>
      </c>
      <c r="F5">
        <f t="shared" si="0"/>
        <v>1</v>
      </c>
    </row>
    <row r="6" spans="2:6" ht="15.75" thickBot="1" x14ac:dyDescent="0.3">
      <c r="B6" s="3">
        <v>1978</v>
      </c>
      <c r="C6" s="4">
        <v>1</v>
      </c>
      <c r="D6" s="4">
        <v>3.5</v>
      </c>
      <c r="E6" s="4">
        <v>-2.9</v>
      </c>
      <c r="F6">
        <f t="shared" si="0"/>
        <v>1</v>
      </c>
    </row>
    <row r="7" spans="2:6" ht="15.75" thickBot="1" x14ac:dyDescent="0.3">
      <c r="B7" s="3">
        <v>1978</v>
      </c>
      <c r="C7" s="4">
        <v>3</v>
      </c>
      <c r="D7" s="4">
        <v>1.2</v>
      </c>
      <c r="E7" s="4">
        <v>2</v>
      </c>
      <c r="F7">
        <f t="shared" si="0"/>
        <v>0</v>
      </c>
    </row>
    <row r="8" spans="2:6" ht="15.75" thickBot="1" x14ac:dyDescent="0.3">
      <c r="B8" s="3">
        <v>1978</v>
      </c>
      <c r="C8" s="4">
        <v>4</v>
      </c>
      <c r="D8" s="4">
        <v>0</v>
      </c>
      <c r="E8" s="4">
        <v>2.2000000000000002</v>
      </c>
      <c r="F8">
        <f t="shared" si="0"/>
        <v>0</v>
      </c>
    </row>
    <row r="9" spans="2:6" ht="15.75" thickBot="1" x14ac:dyDescent="0.3">
      <c r="B9" s="3">
        <v>1980</v>
      </c>
      <c r="C9" s="4">
        <v>1</v>
      </c>
      <c r="D9" s="4">
        <v>0.8</v>
      </c>
      <c r="E9" s="4">
        <v>1.7</v>
      </c>
      <c r="F9">
        <f t="shared" si="0"/>
        <v>0</v>
      </c>
    </row>
    <row r="10" spans="2:6" ht="15.75" thickBot="1" x14ac:dyDescent="0.3">
      <c r="B10" s="3">
        <v>1980</v>
      </c>
      <c r="C10" s="4">
        <v>2</v>
      </c>
      <c r="D10" s="4">
        <v>0.5</v>
      </c>
      <c r="E10" s="4">
        <v>3.1</v>
      </c>
      <c r="F10">
        <f t="shared" si="0"/>
        <v>0</v>
      </c>
    </row>
    <row r="11" spans="2:6" ht="15.75" thickBot="1" x14ac:dyDescent="0.3">
      <c r="B11" s="3">
        <v>1980</v>
      </c>
      <c r="C11" s="4">
        <v>4</v>
      </c>
      <c r="D11" s="4">
        <v>-2</v>
      </c>
      <c r="E11" s="4">
        <v>7.8</v>
      </c>
      <c r="F11">
        <f t="shared" si="0"/>
        <v>1</v>
      </c>
    </row>
    <row r="12" spans="2:6" ht="15.75" thickBot="1" x14ac:dyDescent="0.3">
      <c r="B12" s="3">
        <v>1990</v>
      </c>
      <c r="C12" s="4">
        <v>2</v>
      </c>
      <c r="D12" s="4">
        <v>-0.1</v>
      </c>
      <c r="E12" s="4">
        <v>4</v>
      </c>
      <c r="F12">
        <f t="shared" si="0"/>
        <v>1</v>
      </c>
    </row>
    <row r="13" spans="2:6" ht="15.75" thickBot="1" x14ac:dyDescent="0.3">
      <c r="B13" s="3">
        <v>1990</v>
      </c>
      <c r="C13" s="4">
        <v>4</v>
      </c>
      <c r="D13" s="4">
        <v>-0.8</v>
      </c>
      <c r="E13" s="4">
        <v>4.9000000000000004</v>
      </c>
      <c r="F13">
        <f t="shared" si="0"/>
        <v>1</v>
      </c>
    </row>
    <row r="14" spans="2:6" x14ac:dyDescent="0.25">
      <c r="B14" s="5"/>
    </row>
  </sheetData>
  <sortState xmlns:xlrd2="http://schemas.microsoft.com/office/spreadsheetml/2017/richdata2" ref="B3:E13">
    <sortCondition ref="B2:B1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66ED4-B383-497A-9937-4197893D52E2}">
  <dimension ref="A1:C12"/>
  <sheetViews>
    <sheetView workbookViewId="0">
      <selection sqref="A1:C12"/>
    </sheetView>
  </sheetViews>
  <sheetFormatPr baseColWidth="10" defaultRowHeight="15" x14ac:dyDescent="0.25"/>
  <cols>
    <col min="1" max="1" width="14" bestFit="1" customWidth="1"/>
    <col min="2" max="2" width="14.42578125" bestFit="1" customWidth="1"/>
    <col min="3" max="3" width="5.28515625" customWidth="1"/>
  </cols>
  <sheetData>
    <row r="1" spans="1:3" ht="14.25" customHeight="1" x14ac:dyDescent="0.25">
      <c r="A1" s="9" t="s">
        <v>2</v>
      </c>
      <c r="B1" s="9" t="s">
        <v>3</v>
      </c>
      <c r="C1" s="7"/>
    </row>
    <row r="2" spans="1:3" x14ac:dyDescent="0.25">
      <c r="A2" s="8">
        <v>-2</v>
      </c>
      <c r="B2" s="8">
        <v>7.8</v>
      </c>
      <c r="C2" s="7">
        <f>IF(A2*B2&lt;0, 1,0)</f>
        <v>1</v>
      </c>
    </row>
    <row r="3" spans="1:3" x14ac:dyDescent="0.25">
      <c r="A3" s="8">
        <v>-1</v>
      </c>
      <c r="B3" s="8">
        <v>5.7</v>
      </c>
      <c r="C3" s="7">
        <f>IF(A3*B3&lt;0, 1,0)</f>
        <v>1</v>
      </c>
    </row>
    <row r="4" spans="1:3" x14ac:dyDescent="0.25">
      <c r="A4" s="8">
        <v>-0.8</v>
      </c>
      <c r="B4" s="8">
        <v>4.9000000000000004</v>
      </c>
      <c r="C4" s="7">
        <f>IF(A4*B4&lt;0, 1,0)</f>
        <v>1</v>
      </c>
    </row>
    <row r="5" spans="1:3" x14ac:dyDescent="0.25">
      <c r="A5" s="8">
        <v>-0.4</v>
      </c>
      <c r="B5" s="8">
        <v>5.0999999999999996</v>
      </c>
      <c r="C5" s="7">
        <f>IF(A5*B5&lt;0, 1,0)</f>
        <v>1</v>
      </c>
    </row>
    <row r="6" spans="1:3" x14ac:dyDescent="0.25">
      <c r="A6" s="8">
        <v>-0.1</v>
      </c>
      <c r="B6" s="8">
        <v>4</v>
      </c>
      <c r="C6" s="7">
        <f>IF(A6*B6&lt;0, 1,0)</f>
        <v>1</v>
      </c>
    </row>
    <row r="7" spans="1:3" x14ac:dyDescent="0.25">
      <c r="A7" s="8">
        <v>0</v>
      </c>
      <c r="B7" s="8">
        <v>2.2000000000000002</v>
      </c>
      <c r="C7" s="7">
        <f>IF(A7*B7&lt;0, 1,0)</f>
        <v>0</v>
      </c>
    </row>
    <row r="8" spans="1:3" x14ac:dyDescent="0.25">
      <c r="A8" s="8">
        <v>0.5</v>
      </c>
      <c r="B8" s="8">
        <v>3.1</v>
      </c>
      <c r="C8" s="7">
        <f>IF(A8*B8&lt;0, 1,0)</f>
        <v>0</v>
      </c>
    </row>
    <row r="9" spans="1:3" x14ac:dyDescent="0.25">
      <c r="A9" s="8">
        <v>0.8</v>
      </c>
      <c r="B9" s="8">
        <v>1.7</v>
      </c>
      <c r="C9" s="7">
        <f>IF(A9*B9&lt;0, 1,0)</f>
        <v>0</v>
      </c>
    </row>
    <row r="10" spans="1:3" x14ac:dyDescent="0.25">
      <c r="A10" s="8">
        <v>1.2</v>
      </c>
      <c r="B10" s="8">
        <v>2</v>
      </c>
      <c r="C10" s="7">
        <f>IF(A10*B10&lt;0, 1,0)</f>
        <v>0</v>
      </c>
    </row>
    <row r="11" spans="1:3" x14ac:dyDescent="0.25">
      <c r="A11" s="8">
        <v>2.1</v>
      </c>
      <c r="B11" s="8">
        <v>-2</v>
      </c>
      <c r="C11" s="7">
        <f>IF(A11*B11&lt;0, 1,0)</f>
        <v>1</v>
      </c>
    </row>
    <row r="12" spans="1:3" x14ac:dyDescent="0.25">
      <c r="A12" s="8">
        <v>3.5</v>
      </c>
      <c r="B12" s="8">
        <v>-2.9</v>
      </c>
      <c r="C12" s="7">
        <f>IF(A12*B12&lt;0, 1,0)</f>
        <v>1</v>
      </c>
    </row>
  </sheetData>
  <sortState xmlns:xlrd2="http://schemas.microsoft.com/office/spreadsheetml/2017/richdata2" ref="A2:C12">
    <sortCondition ref="A2:A12"/>
  </sortState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BE2EF-1C48-4D0B-A76A-C168AC14F23A}">
  <dimension ref="A1:F20"/>
  <sheetViews>
    <sheetView workbookViewId="0">
      <selection sqref="A1:F19"/>
    </sheetView>
  </sheetViews>
  <sheetFormatPr baseColWidth="10" defaultRowHeight="15" x14ac:dyDescent="0.25"/>
  <cols>
    <col min="1" max="1" width="13.140625" customWidth="1"/>
    <col min="2" max="2" width="13.7109375" customWidth="1"/>
    <col min="3" max="3" width="11.85546875" bestFit="1" customWidth="1"/>
  </cols>
  <sheetData>
    <row r="1" spans="1:6" ht="30" x14ac:dyDescent="0.25">
      <c r="A1" s="10" t="s">
        <v>2</v>
      </c>
      <c r="B1" s="10" t="s">
        <v>3</v>
      </c>
      <c r="C1" s="11" t="s">
        <v>4</v>
      </c>
      <c r="D1" s="11" t="s">
        <v>5</v>
      </c>
      <c r="E1" s="11" t="s">
        <v>6</v>
      </c>
      <c r="F1" s="11" t="s">
        <v>7</v>
      </c>
    </row>
    <row r="2" spans="1:6" x14ac:dyDescent="0.25">
      <c r="A2" s="8">
        <v>-2</v>
      </c>
      <c r="B2" s="8">
        <v>7.8</v>
      </c>
      <c r="C2" s="7">
        <f>A2*A2</f>
        <v>4</v>
      </c>
      <c r="D2" s="6">
        <f>B2*B2</f>
        <v>60.839999999999996</v>
      </c>
      <c r="E2" s="6">
        <f>A2*B2</f>
        <v>-15.6</v>
      </c>
      <c r="F2" s="6">
        <f>$C$18*A2+$C$19</f>
        <v>7.6277287505805855</v>
      </c>
    </row>
    <row r="3" spans="1:6" x14ac:dyDescent="0.25">
      <c r="A3" s="8">
        <v>-1</v>
      </c>
      <c r="B3" s="8">
        <v>5.7</v>
      </c>
      <c r="C3" s="7">
        <f t="shared" ref="C3:C12" si="0">A3*A3</f>
        <v>1</v>
      </c>
      <c r="D3" s="6">
        <f t="shared" ref="D3:D12" si="1">B3*B3</f>
        <v>32.49</v>
      </c>
      <c r="E3" s="6">
        <f t="shared" ref="E3:E12" si="2">A3*B3</f>
        <v>-5.7</v>
      </c>
      <c r="F3" s="6">
        <f t="shared" ref="F3:F12" si="3">$C$18*A3+$C$19</f>
        <v>5.6004025390927392</v>
      </c>
    </row>
    <row r="4" spans="1:6" x14ac:dyDescent="0.25">
      <c r="A4" s="8">
        <v>-0.8</v>
      </c>
      <c r="B4" s="8">
        <v>4.9000000000000004</v>
      </c>
      <c r="C4" s="7">
        <f t="shared" si="0"/>
        <v>0.64000000000000012</v>
      </c>
      <c r="D4" s="6">
        <f t="shared" si="1"/>
        <v>24.010000000000005</v>
      </c>
      <c r="E4" s="6">
        <f t="shared" si="2"/>
        <v>-3.9200000000000004</v>
      </c>
      <c r="F4" s="6">
        <f t="shared" si="3"/>
        <v>5.1949372967951701</v>
      </c>
    </row>
    <row r="5" spans="1:6" x14ac:dyDescent="0.25">
      <c r="A5" s="8">
        <v>-0.4</v>
      </c>
      <c r="B5" s="8">
        <v>5.0999999999999996</v>
      </c>
      <c r="C5" s="7">
        <f t="shared" si="0"/>
        <v>0.16000000000000003</v>
      </c>
      <c r="D5" s="6">
        <f t="shared" si="1"/>
        <v>26.009999999999998</v>
      </c>
      <c r="E5" s="6">
        <f t="shared" si="2"/>
        <v>-2.04</v>
      </c>
      <c r="F5" s="6">
        <f t="shared" si="3"/>
        <v>4.3840068122000311</v>
      </c>
    </row>
    <row r="6" spans="1:6" x14ac:dyDescent="0.25">
      <c r="A6" s="8">
        <v>-0.1</v>
      </c>
      <c r="B6" s="8">
        <v>4</v>
      </c>
      <c r="C6" s="7">
        <f t="shared" si="0"/>
        <v>1.0000000000000002E-2</v>
      </c>
      <c r="D6" s="6">
        <f t="shared" si="1"/>
        <v>16</v>
      </c>
      <c r="E6" s="6">
        <f t="shared" si="2"/>
        <v>-0.4</v>
      </c>
      <c r="F6" s="6">
        <f t="shared" si="3"/>
        <v>3.775808948753677</v>
      </c>
    </row>
    <row r="7" spans="1:6" x14ac:dyDescent="0.25">
      <c r="A7" s="8">
        <v>0</v>
      </c>
      <c r="B7" s="8">
        <v>2.2000000000000002</v>
      </c>
      <c r="C7" s="7">
        <f t="shared" si="0"/>
        <v>0</v>
      </c>
      <c r="D7" s="6">
        <f t="shared" si="1"/>
        <v>4.8400000000000007</v>
      </c>
      <c r="E7" s="6">
        <f t="shared" si="2"/>
        <v>0</v>
      </c>
      <c r="F7" s="6">
        <f t="shared" si="3"/>
        <v>3.5730763276048925</v>
      </c>
    </row>
    <row r="8" spans="1:6" x14ac:dyDescent="0.25">
      <c r="A8" s="8">
        <v>0.5</v>
      </c>
      <c r="B8" s="8">
        <v>3.1</v>
      </c>
      <c r="C8" s="7">
        <f t="shared" si="0"/>
        <v>0.25</v>
      </c>
      <c r="D8" s="6">
        <f t="shared" si="1"/>
        <v>9.6100000000000012</v>
      </c>
      <c r="E8" s="6">
        <f t="shared" si="2"/>
        <v>1.55</v>
      </c>
      <c r="F8" s="6">
        <f t="shared" si="3"/>
        <v>2.5594132218609689</v>
      </c>
    </row>
    <row r="9" spans="1:6" x14ac:dyDescent="0.25">
      <c r="A9" s="8">
        <v>0.8</v>
      </c>
      <c r="B9" s="8">
        <v>1.7</v>
      </c>
      <c r="C9" s="7">
        <f t="shared" si="0"/>
        <v>0.64000000000000012</v>
      </c>
      <c r="D9" s="6">
        <f t="shared" si="1"/>
        <v>2.8899999999999997</v>
      </c>
      <c r="E9" s="6">
        <f t="shared" si="2"/>
        <v>1.36</v>
      </c>
      <c r="F9" s="6">
        <f t="shared" si="3"/>
        <v>1.951215358414615</v>
      </c>
    </row>
    <row r="10" spans="1:6" x14ac:dyDescent="0.25">
      <c r="A10" s="8">
        <v>1.2</v>
      </c>
      <c r="B10" s="8">
        <v>2</v>
      </c>
      <c r="C10" s="7">
        <f t="shared" si="0"/>
        <v>1.44</v>
      </c>
      <c r="D10" s="6">
        <f t="shared" si="1"/>
        <v>4</v>
      </c>
      <c r="E10" s="6">
        <f t="shared" si="2"/>
        <v>2.4</v>
      </c>
      <c r="F10" s="6">
        <f t="shared" si="3"/>
        <v>1.1402848738194766</v>
      </c>
    </row>
    <row r="11" spans="1:6" x14ac:dyDescent="0.25">
      <c r="A11" s="8">
        <v>2.1</v>
      </c>
      <c r="B11" s="8">
        <v>-2</v>
      </c>
      <c r="C11" s="7">
        <f t="shared" si="0"/>
        <v>4.41</v>
      </c>
      <c r="D11" s="6">
        <f t="shared" si="1"/>
        <v>4</v>
      </c>
      <c r="E11" s="6">
        <f t="shared" si="2"/>
        <v>-4.2</v>
      </c>
      <c r="F11" s="6">
        <f t="shared" si="3"/>
        <v>-0.68430871651958602</v>
      </c>
    </row>
    <row r="12" spans="1:6" x14ac:dyDescent="0.25">
      <c r="A12" s="8">
        <v>3.5</v>
      </c>
      <c r="B12" s="8">
        <v>-2.9</v>
      </c>
      <c r="C12" s="7">
        <f t="shared" si="0"/>
        <v>12.25</v>
      </c>
      <c r="D12" s="6">
        <f t="shared" si="1"/>
        <v>8.41</v>
      </c>
      <c r="E12" s="6">
        <f t="shared" si="2"/>
        <v>-10.15</v>
      </c>
      <c r="F12" s="6">
        <f t="shared" si="3"/>
        <v>-3.5225654126025714</v>
      </c>
    </row>
    <row r="13" spans="1:6" x14ac:dyDescent="0.25">
      <c r="A13" s="12"/>
      <c r="B13" s="12"/>
      <c r="C13" s="12"/>
      <c r="D13" s="11"/>
      <c r="E13" s="11"/>
      <c r="F13" s="6"/>
    </row>
    <row r="14" spans="1:6" x14ac:dyDescent="0.25">
      <c r="A14" s="6">
        <f>SUM(A2:A12)</f>
        <v>3.8</v>
      </c>
      <c r="B14" s="6">
        <f t="shared" ref="B14:E14" si="4">SUM(B2:B12)</f>
        <v>31.6</v>
      </c>
      <c r="C14" s="6">
        <f t="shared" si="4"/>
        <v>24.8</v>
      </c>
      <c r="D14" s="6">
        <f t="shared" si="4"/>
        <v>193.1</v>
      </c>
      <c r="E14" s="6">
        <f t="shared" si="4"/>
        <v>-36.700000000000003</v>
      </c>
      <c r="F14" s="6"/>
    </row>
    <row r="15" spans="1:6" x14ac:dyDescent="0.25">
      <c r="A15" s="6"/>
      <c r="B15" s="6"/>
      <c r="C15" s="6"/>
      <c r="D15" s="6"/>
      <c r="E15" s="6"/>
      <c r="F15" s="6"/>
    </row>
    <row r="16" spans="1:6" x14ac:dyDescent="0.25">
      <c r="A16" s="6"/>
      <c r="B16" s="11" t="s">
        <v>9</v>
      </c>
      <c r="C16" s="6">
        <f>COUNT(A2:A12)</f>
        <v>11</v>
      </c>
      <c r="D16" s="6"/>
      <c r="E16" s="6"/>
      <c r="F16" s="6"/>
    </row>
    <row r="17" spans="1:6" x14ac:dyDescent="0.25">
      <c r="A17" s="6"/>
      <c r="B17" s="11" t="s">
        <v>8</v>
      </c>
      <c r="C17" s="6">
        <f>C16*C14-A14*A14</f>
        <v>258.36</v>
      </c>
      <c r="D17" s="6"/>
      <c r="E17" s="6"/>
      <c r="F17" s="6"/>
    </row>
    <row r="18" spans="1:6" x14ac:dyDescent="0.25">
      <c r="A18" s="6"/>
      <c r="B18" s="11" t="s">
        <v>10</v>
      </c>
      <c r="C18" s="6">
        <f>(C16*E14-A14*B14)/C17</f>
        <v>-2.0273262114878468</v>
      </c>
      <c r="D18" s="6"/>
      <c r="E18" s="6"/>
      <c r="F18" s="6"/>
    </row>
    <row r="19" spans="1:6" x14ac:dyDescent="0.25">
      <c r="A19" s="6"/>
      <c r="B19" s="11" t="s">
        <v>11</v>
      </c>
      <c r="C19" s="6">
        <f>(B14*C14-A14*E14)/C17</f>
        <v>3.5730763276048925</v>
      </c>
      <c r="D19" s="6"/>
      <c r="E19" s="6"/>
      <c r="F19" s="6"/>
    </row>
    <row r="20" spans="1:6" x14ac:dyDescent="0.25">
      <c r="A20" s="6"/>
      <c r="B20" s="6"/>
      <c r="C20" s="6"/>
      <c r="D20" s="6"/>
      <c r="E20" s="6"/>
      <c r="F20" s="6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F1F62-504A-45F0-9B01-086735E10ECB}">
  <dimension ref="A1:F19"/>
  <sheetViews>
    <sheetView tabSelected="1" workbookViewId="0">
      <selection activeCell="J21" sqref="J21"/>
    </sheetView>
  </sheetViews>
  <sheetFormatPr baseColWidth="10" defaultRowHeight="15" x14ac:dyDescent="0.25"/>
  <cols>
    <col min="1" max="1" width="13.5703125" customWidth="1"/>
    <col min="2" max="2" width="14.42578125" customWidth="1"/>
    <col min="6" max="6" width="12.28515625" bestFit="1" customWidth="1"/>
  </cols>
  <sheetData>
    <row r="1" spans="1:6" ht="45" x14ac:dyDescent="0.25">
      <c r="A1" s="10" t="s">
        <v>2</v>
      </c>
      <c r="B1" s="10" t="s">
        <v>3</v>
      </c>
      <c r="C1" s="11" t="s">
        <v>4</v>
      </c>
      <c r="D1" s="11" t="s">
        <v>5</v>
      </c>
      <c r="E1" s="11" t="s">
        <v>6</v>
      </c>
      <c r="F1" s="11" t="s">
        <v>7</v>
      </c>
    </row>
    <row r="2" spans="1:6" x14ac:dyDescent="0.25">
      <c r="A2" s="8">
        <v>-2</v>
      </c>
      <c r="B2" s="8">
        <v>7.8</v>
      </c>
      <c r="C2" s="7">
        <f>A2*A2</f>
        <v>4</v>
      </c>
      <c r="D2" s="6">
        <f>B2*B2</f>
        <v>60.839999999999996</v>
      </c>
      <c r="E2" s="6">
        <f>A2*B2</f>
        <v>-15.6</v>
      </c>
      <c r="F2" s="13">
        <f>$C$18*A2+$C$19</f>
        <v>7.6277287505805855</v>
      </c>
    </row>
    <row r="3" spans="1:6" x14ac:dyDescent="0.25">
      <c r="A3" s="8">
        <v>-1</v>
      </c>
      <c r="B3" s="8">
        <v>5.7</v>
      </c>
      <c r="C3" s="7">
        <f t="shared" ref="C3:D12" si="0">A3*A3</f>
        <v>1</v>
      </c>
      <c r="D3" s="6">
        <f t="shared" si="0"/>
        <v>32.49</v>
      </c>
      <c r="E3" s="6">
        <f t="shared" ref="E3:E12" si="1">A3*B3</f>
        <v>-5.7</v>
      </c>
      <c r="F3" s="13">
        <f t="shared" ref="F3:F12" si="2">$C$18*A3+$C$19</f>
        <v>5.6004025390927392</v>
      </c>
    </row>
    <row r="4" spans="1:6" x14ac:dyDescent="0.25">
      <c r="A4" s="8">
        <v>-0.8</v>
      </c>
      <c r="B4" s="8">
        <v>4.9000000000000004</v>
      </c>
      <c r="C4" s="7">
        <f t="shared" si="0"/>
        <v>0.64000000000000012</v>
      </c>
      <c r="D4" s="6">
        <f t="shared" si="0"/>
        <v>24.010000000000005</v>
      </c>
      <c r="E4" s="6">
        <f t="shared" si="1"/>
        <v>-3.9200000000000004</v>
      </c>
      <c r="F4" s="13">
        <f t="shared" si="2"/>
        <v>5.1949372967951701</v>
      </c>
    </row>
    <row r="5" spans="1:6" x14ac:dyDescent="0.25">
      <c r="A5" s="8">
        <v>-0.4</v>
      </c>
      <c r="B5" s="8">
        <v>5.0999999999999996</v>
      </c>
      <c r="C5" s="7">
        <f t="shared" si="0"/>
        <v>0.16000000000000003</v>
      </c>
      <c r="D5" s="6">
        <f t="shared" si="0"/>
        <v>26.009999999999998</v>
      </c>
      <c r="E5" s="6">
        <f t="shared" si="1"/>
        <v>-2.04</v>
      </c>
      <c r="F5" s="13">
        <f t="shared" si="2"/>
        <v>4.3840068122000311</v>
      </c>
    </row>
    <row r="6" spans="1:6" x14ac:dyDescent="0.25">
      <c r="A6" s="8">
        <v>-0.1</v>
      </c>
      <c r="B6" s="8">
        <v>4</v>
      </c>
      <c r="C6" s="7">
        <f t="shared" si="0"/>
        <v>1.0000000000000002E-2</v>
      </c>
      <c r="D6" s="6">
        <f t="shared" si="0"/>
        <v>16</v>
      </c>
      <c r="E6" s="6">
        <f t="shared" si="1"/>
        <v>-0.4</v>
      </c>
      <c r="F6" s="13">
        <f t="shared" si="2"/>
        <v>3.775808948753677</v>
      </c>
    </row>
    <row r="7" spans="1:6" x14ac:dyDescent="0.25">
      <c r="A7" s="8">
        <v>0</v>
      </c>
      <c r="B7" s="8">
        <v>2.2000000000000002</v>
      </c>
      <c r="C7" s="7">
        <f t="shared" si="0"/>
        <v>0</v>
      </c>
      <c r="D7" s="6">
        <f t="shared" si="0"/>
        <v>4.8400000000000007</v>
      </c>
      <c r="E7" s="6">
        <f t="shared" si="1"/>
        <v>0</v>
      </c>
      <c r="F7" s="13">
        <f t="shared" si="2"/>
        <v>3.5730763276048925</v>
      </c>
    </row>
    <row r="8" spans="1:6" x14ac:dyDescent="0.25">
      <c r="A8" s="8">
        <v>0.5</v>
      </c>
      <c r="B8" s="8">
        <v>3.1</v>
      </c>
      <c r="C8" s="7">
        <f t="shared" si="0"/>
        <v>0.25</v>
      </c>
      <c r="D8" s="6">
        <f t="shared" si="0"/>
        <v>9.6100000000000012</v>
      </c>
      <c r="E8" s="6">
        <f t="shared" si="1"/>
        <v>1.55</v>
      </c>
      <c r="F8" s="13">
        <f t="shared" si="2"/>
        <v>2.5594132218609689</v>
      </c>
    </row>
    <row r="9" spans="1:6" x14ac:dyDescent="0.25">
      <c r="A9" s="8">
        <v>0.8</v>
      </c>
      <c r="B9" s="8">
        <v>1.7</v>
      </c>
      <c r="C9" s="7">
        <f t="shared" si="0"/>
        <v>0.64000000000000012</v>
      </c>
      <c r="D9" s="6">
        <f t="shared" si="0"/>
        <v>2.8899999999999997</v>
      </c>
      <c r="E9" s="6">
        <f t="shared" si="1"/>
        <v>1.36</v>
      </c>
      <c r="F9" s="13">
        <f t="shared" si="2"/>
        <v>1.951215358414615</v>
      </c>
    </row>
    <row r="10" spans="1:6" x14ac:dyDescent="0.25">
      <c r="A10" s="8">
        <v>1.2</v>
      </c>
      <c r="B10" s="8">
        <v>2</v>
      </c>
      <c r="C10" s="7">
        <f t="shared" si="0"/>
        <v>1.44</v>
      </c>
      <c r="D10" s="6">
        <f t="shared" si="0"/>
        <v>4</v>
      </c>
      <c r="E10" s="6">
        <f t="shared" si="1"/>
        <v>2.4</v>
      </c>
      <c r="F10" s="13">
        <f t="shared" si="2"/>
        <v>1.1402848738194766</v>
      </c>
    </row>
    <row r="11" spans="1:6" x14ac:dyDescent="0.25">
      <c r="A11" s="8">
        <v>2.1</v>
      </c>
      <c r="B11" s="8">
        <v>-2</v>
      </c>
      <c r="C11" s="7">
        <f t="shared" si="0"/>
        <v>4.41</v>
      </c>
      <c r="D11" s="6">
        <f t="shared" si="0"/>
        <v>4</v>
      </c>
      <c r="E11" s="6">
        <f t="shared" si="1"/>
        <v>-4.2</v>
      </c>
      <c r="F11" s="13">
        <f t="shared" si="2"/>
        <v>-0.68430871651958602</v>
      </c>
    </row>
    <row r="12" spans="1:6" x14ac:dyDescent="0.25">
      <c r="A12" s="8">
        <v>3.5</v>
      </c>
      <c r="B12" s="8">
        <v>-2.9</v>
      </c>
      <c r="C12" s="7">
        <f t="shared" si="0"/>
        <v>12.25</v>
      </c>
      <c r="D12" s="6">
        <f t="shared" si="0"/>
        <v>8.41</v>
      </c>
      <c r="E12" s="6">
        <f t="shared" si="1"/>
        <v>-10.15</v>
      </c>
      <c r="F12" s="13">
        <f t="shared" si="2"/>
        <v>-3.5225654126025714</v>
      </c>
    </row>
    <row r="13" spans="1:6" x14ac:dyDescent="0.25">
      <c r="A13" s="12"/>
      <c r="B13" s="12"/>
      <c r="C13" s="12"/>
      <c r="D13" s="11"/>
      <c r="E13" s="11"/>
      <c r="F13" s="6"/>
    </row>
    <row r="14" spans="1:6" x14ac:dyDescent="0.25">
      <c r="A14" s="6">
        <f>SUM(A2:A12)</f>
        <v>3.8</v>
      </c>
      <c r="B14" s="6">
        <f t="shared" ref="B14:E14" si="3">SUM(B2:B12)</f>
        <v>31.6</v>
      </c>
      <c r="C14" s="6">
        <f t="shared" si="3"/>
        <v>24.8</v>
      </c>
      <c r="D14" s="6">
        <f t="shared" si="3"/>
        <v>193.1</v>
      </c>
      <c r="E14" s="6">
        <f t="shared" si="3"/>
        <v>-36.700000000000003</v>
      </c>
      <c r="F14" s="6"/>
    </row>
    <row r="15" spans="1:6" x14ac:dyDescent="0.25">
      <c r="A15" s="6"/>
      <c r="B15" s="6"/>
      <c r="C15" s="6"/>
      <c r="D15" s="6"/>
      <c r="E15" s="6"/>
      <c r="F15" s="6"/>
    </row>
    <row r="16" spans="1:6" x14ac:dyDescent="0.25">
      <c r="A16" s="6"/>
      <c r="B16" s="11" t="s">
        <v>9</v>
      </c>
      <c r="C16" s="6">
        <f>COUNT(A2:A12)</f>
        <v>11</v>
      </c>
      <c r="D16" s="6"/>
      <c r="E16" s="6"/>
      <c r="F16" s="6"/>
    </row>
    <row r="17" spans="1:6" x14ac:dyDescent="0.25">
      <c r="A17" s="6"/>
      <c r="B17" s="11" t="s">
        <v>8</v>
      </c>
      <c r="C17" s="6">
        <f>C16*C14-A14*A14</f>
        <v>258.36</v>
      </c>
      <c r="D17" s="6"/>
      <c r="E17" s="6"/>
      <c r="F17" s="6"/>
    </row>
    <row r="18" spans="1:6" x14ac:dyDescent="0.25">
      <c r="A18" s="6"/>
      <c r="B18" s="11" t="s">
        <v>10</v>
      </c>
      <c r="C18" s="13">
        <f>(C16*E14-A14*B14)/C17</f>
        <v>-2.0273262114878468</v>
      </c>
      <c r="D18" s="6"/>
      <c r="E18" s="6"/>
      <c r="F18" s="6"/>
    </row>
    <row r="19" spans="1:6" x14ac:dyDescent="0.25">
      <c r="A19" s="6"/>
      <c r="B19" s="11" t="s">
        <v>11</v>
      </c>
      <c r="C19" s="13">
        <f>(B14*C14-A14*E14)/C17</f>
        <v>3.5730763276048925</v>
      </c>
      <c r="D19" s="6"/>
      <c r="E19" s="6"/>
      <c r="F19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Antranig Baloian Tataryan (nbaloian)</dc:creator>
  <cp:lastModifiedBy>FELIPE COLLI</cp:lastModifiedBy>
  <dcterms:created xsi:type="dcterms:W3CDTF">2022-03-20T17:06:11Z</dcterms:created>
  <dcterms:modified xsi:type="dcterms:W3CDTF">2026-04-21T15:39:26Z</dcterms:modified>
</cp:coreProperties>
</file>